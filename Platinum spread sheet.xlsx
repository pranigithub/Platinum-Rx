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<sst xmlns="http://schemas.openxmlformats.org/spreadsheetml/2006/main" count="25" uniqueCount="22">
  <si>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Ticket</t>
  </si>
  <si>
    <t>A: ticket_id</t>
  </si>
  <si>
    <t>B: created_at</t>
  </si>
  <si>
    <t>C: closed_at</t>
  </si>
  <si>
    <t>D: outlet_id</t>
  </si>
  <si>
    <t>E: cms_id</t>
  </si>
  <si>
    <t>F: Same Day? (Helper)</t>
  </si>
  <si>
    <t>G: Same Hour? (Helper)</t>
  </si>
  <si>
    <t>isu-sjd-457</t>
  </si>
  <si>
    <t>wrqy-juv-978</t>
  </si>
  <si>
    <t>vew-iuvd-12</t>
  </si>
  <si>
    <t>qer-fal-092</t>
  </si>
  <si>
    <t>8woh-k3u-23b</t>
  </si>
  <si>
    <t>Feedbacks</t>
  </si>
  <si>
    <t>A: cms_id</t>
  </si>
  <si>
    <t>B: feedback_at</t>
  </si>
  <si>
    <t>C: feedback_rating</t>
  </si>
  <si>
    <t>D: ticket_created_at</t>
  </si>
  <si>
    <t>Summary Report</t>
  </si>
  <si>
    <t>A: Outlet ID</t>
  </si>
  <si>
    <t>B: Count (Same Day)</t>
  </si>
  <si>
    <t>C: Count (Same Hour)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</si>
</sst>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8</v>
      </c>
      <c r="B3" s="3">
        <v>44427.69841435185</v>
      </c>
      <c r="C3" s="3">
        <v>44430.52328703704</v>
      </c>
      <c r="D3" s="2" t="s">
        <v>9</v>
      </c>
      <c r="E3" s="2" t="s">
        <v>10</v>
      </c>
      <c r="F3" s="4" t="b">
        <f t="shared" ref="F3:F4" si="1">INT(B3)=INT(C3)</f>
        <v>0</v>
      </c>
      <c r="G3" s="4" t="b">
        <f t="shared" ref="G3:G4" si="2">AND(INT(B3)=INT(C3), HOUR(B3)=HOUR(C3))</f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11</v>
      </c>
      <c r="B4" s="3">
        <v>44429.464837962965</v>
      </c>
      <c r="C4" s="3">
        <v>44429.717881944445</v>
      </c>
      <c r="D4" s="2" t="s">
        <v>12</v>
      </c>
      <c r="E4" s="2"/>
      <c r="F4" s="4" t="b">
        <f t="shared" si="1"/>
        <v>1</v>
      </c>
      <c r="G4" s="4" t="b">
        <f t="shared" si="2"/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14</v>
      </c>
      <c r="B8" s="2" t="s">
        <v>15</v>
      </c>
      <c r="C8" s="2" t="s">
        <v>16</v>
      </c>
      <c r="D8" s="2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10</v>
      </c>
      <c r="B9" s="3">
        <v>44429.560277777775</v>
      </c>
      <c r="C9" s="5">
        <v>3.0</v>
      </c>
      <c r="D9" s="4" t="str">
        <f t="array" ref="D9">XLOOKUP(A9, ticket!E:E, ticket!B:B, "No Match")</f>
        <v>#REF!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19</v>
      </c>
      <c r="B13" s="2" t="s">
        <v>20</v>
      </c>
      <c r="C13" s="2" t="s">
        <v>21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</v>
      </c>
      <c r="B14" s="5">
        <f t="shared" ref="B14:B15" si="3">COUNTIFS(ticket!D:D, A14, ticket!F:F, TRUE)</f>
        <v>0</v>
      </c>
      <c r="C14" s="5">
        <f t="shared" ref="C14:C15" si="4">COUNTIFS(ticket!D:D, A14, ticket!G:G, TRUE)</f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12</v>
      </c>
      <c r="B15" s="5">
        <f t="shared" si="3"/>
        <v>0</v>
      </c>
      <c r="C15" s="5">
        <f t="shared" si="4"/>
        <v>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A1:H1"/>
    <mergeCell ref="A7:G7"/>
    <mergeCell ref="A12:G12"/>
  </mergeCells>
  <drawing r:id="rId1"/>
</worksheet>
</file>